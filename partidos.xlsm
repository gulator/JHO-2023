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gulad\OneDrive\Documentos\Desarrollo web\JHO-2023\"/>
    </mc:Choice>
  </mc:AlternateContent>
  <bookViews>
    <workbookView minimized="1" xWindow="0" yWindow="0" windowWidth="15345" windowHeight="463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D2" i="1"/>
  <c r="C2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41" i="1"/>
  <c r="F55" i="1"/>
  <c r="F56" i="1"/>
  <c r="E37" i="1"/>
  <c r="F37" i="1"/>
  <c r="E38" i="1"/>
  <c r="F38" i="1"/>
  <c r="E39" i="1"/>
  <c r="F39" i="1"/>
  <c r="E40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  <c r="E2" i="1"/>
</calcChain>
</file>

<file path=xl/sharedStrings.xml><?xml version="1.0" encoding="utf-8"?>
<sst xmlns="http://schemas.openxmlformats.org/spreadsheetml/2006/main" count="42" uniqueCount="41">
  <si>
    <t>teamA</t>
  </si>
  <si>
    <t>teamB</t>
  </si>
  <si>
    <t>dia</t>
  </si>
  <si>
    <t>golesA</t>
  </si>
  <si>
    <t>golesB</t>
  </si>
  <si>
    <t>Martes 27 de Junio</t>
  </si>
  <si>
    <t>Jueves 29 de Junio</t>
  </si>
  <si>
    <t>Jueves 10 de Agosto</t>
  </si>
  <si>
    <t>Martes 15 de Agosto</t>
  </si>
  <si>
    <t>Jueves 17 de Agosto</t>
  </si>
  <si>
    <t>horario</t>
  </si>
  <si>
    <t>Martes 4 de JuLio</t>
  </si>
  <si>
    <t>Jueves 6 de JuLio</t>
  </si>
  <si>
    <t>Martes 11 de JuLio</t>
  </si>
  <si>
    <t>Jueves 13 de JuLio</t>
  </si>
  <si>
    <t>Martes 01 de Agosto</t>
  </si>
  <si>
    <t>Jueves 03 de Agosto</t>
  </si>
  <si>
    <t>Martes 08 de Agosto</t>
  </si>
  <si>
    <t>Martes 22 de Agosto</t>
  </si>
  <si>
    <t>Jueves 24 de Agosto</t>
  </si>
  <si>
    <t>Martes 29 de Agosto</t>
  </si>
  <si>
    <t>Jueves 31 de Agosto</t>
  </si>
  <si>
    <t>Martes 05 de Septiembre</t>
  </si>
  <si>
    <t>Jueves 07 de Septiembre</t>
  </si>
  <si>
    <t>Jueves 14 de Septiembre</t>
  </si>
  <si>
    <t>Martes 12 de Septiembre</t>
  </si>
  <si>
    <t>Martes 19 de Septiembre</t>
  </si>
  <si>
    <t>Jueves 21 de Septiembre</t>
  </si>
  <si>
    <t>viewer</t>
  </si>
  <si>
    <t>hora</t>
  </si>
  <si>
    <t>La Naranja Geriatrica</t>
  </si>
  <si>
    <t>Farola FC</t>
  </si>
  <si>
    <t>All Inclusive F.C.</t>
  </si>
  <si>
    <t>Los Suplentes</t>
  </si>
  <si>
    <t>Pablo &amp; Los Sextos</t>
  </si>
  <si>
    <t>Carlinga</t>
  </si>
  <si>
    <t>Rejunte FC</t>
  </si>
  <si>
    <t>Los PapiFootball</t>
  </si>
  <si>
    <t>Whiscola F.C.C.</t>
  </si>
  <si>
    <t>La Scaloneta</t>
  </si>
  <si>
    <t>Sala Azul Remix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</si>
</sst>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2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tabSelected="1" zoomScale="60" zoomScaleNormal="60" workbookViewId="0">
      <selection activeCell="K2" sqref="K2:K56"/>
    </sheetView>
  </sheetViews>
  <sheetFormatPr baseColWidth="10" defaultRowHeight="15" x14ac:dyDescent="0.25"/>
  <cols>
    <col min="1" max="4" width="8.42578125" customWidth="1"/>
    <col min="5" max="5" width="22.140625" customWidth="1"/>
    <col min="6" max="12" width="8.42578125" customWidth="1"/>
  </cols>
  <sheetData>
    <row r="1" spans="1:20" x14ac:dyDescent="0.25">
      <c r="A1" t="s">
        <v>0</v>
      </c>
      <c r="B1" t="s">
        <v>1</v>
      </c>
      <c r="E1" t="s">
        <v>2</v>
      </c>
      <c r="F1" t="s">
        <v>10</v>
      </c>
      <c r="G1" t="s">
        <v>3</v>
      </c>
      <c r="H1" t="s">
        <v>4</v>
      </c>
      <c r="I1" t="s">
        <v>28</v>
      </c>
      <c r="J1" t="s">
        <v>2</v>
      </c>
      <c r="L1" t="s">
        <v>29</v>
      </c>
      <c r="M1">
        <v>1</v>
      </c>
      <c r="N1" t="s">
        <v>5</v>
      </c>
      <c r="P1">
        <v>1</v>
      </c>
      <c r="Q1" s="1">
        <v>0.83333333333333337</v>
      </c>
      <c r="S1">
        <v>1</v>
      </c>
      <c r="T1" t="s">
        <v>30</v>
      </c>
    </row>
    <row r="2" spans="1:20" x14ac:dyDescent="0.25">
      <c r="A2" s="2">
        <v>6</v>
      </c>
      <c r="B2" s="3">
        <v>5</v>
      </c>
      <c r="C2" s="4" t="str">
        <f>VLOOKUP(A2,$S$1:$T$11,2,FALSE)</f>
        <v>Carlinga</v>
      </c>
      <c r="D2" s="4" t="str">
        <f>VLOOKUP(B2,$S$1:$T$11,2,FALSE)</f>
        <v>Pablo &amp; Los Sextos</v>
      </c>
      <c r="E2" t="str">
        <f>VLOOKUP(J2,$M$1:$N$18,2,FALSE)</f>
        <v>Martes 27 de Junio</v>
      </c>
      <c r="F2" s="1">
        <f>VLOOKUP(L2,$P$1:$Q$3,2,FALSE)</f>
        <v>0.83333333333333337</v>
      </c>
      <c r="I2">
        <v>1</v>
      </c>
      <c r="J2">
        <v>1</v>
      </c>
      <c r="K2" s="4" t="str">
        <f>VLOOKUP(I2,$S$1:$T$11,2,FALSE)</f>
        <v>La Naranja Geriatrica</v>
      </c>
      <c r="L2">
        <v>1</v>
      </c>
      <c r="M2">
        <v>2</v>
      </c>
      <c r="N2" t="s">
        <v>6</v>
      </c>
      <c r="P2">
        <v>2</v>
      </c>
      <c r="Q2" s="1">
        <v>0.86805555555555547</v>
      </c>
      <c r="S2">
        <v>2</v>
      </c>
      <c r="T2" t="s">
        <v>31</v>
      </c>
    </row>
    <row r="3" spans="1:20" x14ac:dyDescent="0.25">
      <c r="A3">
        <v>7</v>
      </c>
      <c r="B3">
        <v>1</v>
      </c>
      <c r="C3" s="4" t="str">
        <f t="shared" ref="C3:C56" si="0">VLOOKUP(A3,$S$1:$T$11,2,FALSE)</f>
        <v>Rejunte FC</v>
      </c>
      <c r="D3" s="4" t="str">
        <f t="shared" ref="D3:D56" si="1">VLOOKUP(B3,$S$1:$T$11,2,FALSE)</f>
        <v>La Naranja Geriatrica</v>
      </c>
      <c r="E3" t="str">
        <f>VLOOKUP(J3,$M$1:$N$18,2,FALSE)</f>
        <v>Martes 27 de Junio</v>
      </c>
      <c r="F3" s="1">
        <f t="shared" ref="F3:F21" si="2">VLOOKUP(L3,$P$1:$Q$3,2,FALSE)</f>
        <v>0.86805555555555547</v>
      </c>
      <c r="I3">
        <v>6</v>
      </c>
      <c r="J3">
        <v>1</v>
      </c>
      <c r="K3" s="4" t="str">
        <f t="shared" ref="K3:K56" si="3">VLOOKUP(I3,$S$1:$T$11,2,FALSE)</f>
        <v>Carlinga</v>
      </c>
      <c r="L3">
        <v>2</v>
      </c>
      <c r="M3">
        <v>3</v>
      </c>
      <c r="N3" t="s">
        <v>11</v>
      </c>
      <c r="P3">
        <v>3</v>
      </c>
      <c r="Q3" s="1">
        <v>0.90277777777777779</v>
      </c>
      <c r="S3">
        <v>3</v>
      </c>
      <c r="T3" t="s">
        <v>32</v>
      </c>
    </row>
    <row r="4" spans="1:20" x14ac:dyDescent="0.25">
      <c r="A4">
        <v>8</v>
      </c>
      <c r="B4">
        <v>4</v>
      </c>
      <c r="C4" s="4" t="str">
        <f t="shared" si="0"/>
        <v>Los PapiFootball</v>
      </c>
      <c r="D4" s="4" t="str">
        <f t="shared" si="1"/>
        <v>Los Suplentes</v>
      </c>
      <c r="E4" t="str">
        <f t="shared" ref="E4:E21" si="4">VLOOKUP(J4,$M$1:$N$18,2,FALSE)</f>
        <v>Martes 27 de Junio</v>
      </c>
      <c r="F4" s="1">
        <f t="shared" si="2"/>
        <v>0.90277777777777779</v>
      </c>
      <c r="I4">
        <v>7</v>
      </c>
      <c r="J4">
        <v>1</v>
      </c>
      <c r="K4" s="4" t="str">
        <f t="shared" si="3"/>
        <v>Rejunte FC</v>
      </c>
      <c r="L4">
        <v>3</v>
      </c>
      <c r="M4">
        <v>4</v>
      </c>
      <c r="N4" t="s">
        <v>12</v>
      </c>
      <c r="S4">
        <v>4</v>
      </c>
      <c r="T4" t="s">
        <v>33</v>
      </c>
    </row>
    <row r="5" spans="1:20" x14ac:dyDescent="0.25">
      <c r="A5">
        <v>9</v>
      </c>
      <c r="B5">
        <v>3</v>
      </c>
      <c r="C5" s="4" t="str">
        <f t="shared" si="0"/>
        <v>Whiscola F.C.C.</v>
      </c>
      <c r="D5" s="4" t="str">
        <f t="shared" si="1"/>
        <v>All Inclusive F.C.</v>
      </c>
      <c r="E5" t="str">
        <f t="shared" si="4"/>
        <v>Jueves 29 de Junio</v>
      </c>
      <c r="F5" s="1">
        <f t="shared" si="2"/>
        <v>0.83333333333333337</v>
      </c>
      <c r="I5">
        <v>2</v>
      </c>
      <c r="J5">
        <v>2</v>
      </c>
      <c r="K5" s="4" t="str">
        <f t="shared" si="3"/>
        <v>Farola FC</v>
      </c>
      <c r="L5">
        <v>1</v>
      </c>
      <c r="M5">
        <v>5</v>
      </c>
      <c r="N5" t="s">
        <v>13</v>
      </c>
      <c r="S5">
        <v>5</v>
      </c>
      <c r="T5" t="s">
        <v>34</v>
      </c>
    </row>
    <row r="6" spans="1:20" x14ac:dyDescent="0.25">
      <c r="A6">
        <v>10</v>
      </c>
      <c r="B6">
        <v>2</v>
      </c>
      <c r="C6" s="4" t="str">
        <f t="shared" si="0"/>
        <v>La Scaloneta</v>
      </c>
      <c r="D6" s="4" t="str">
        <f t="shared" si="1"/>
        <v>Farola FC</v>
      </c>
      <c r="E6" t="str">
        <f t="shared" si="4"/>
        <v>Jueves 29 de Junio</v>
      </c>
      <c r="F6" s="1">
        <f t="shared" si="2"/>
        <v>0.86805555555555547</v>
      </c>
      <c r="I6">
        <v>9</v>
      </c>
      <c r="J6">
        <v>2</v>
      </c>
      <c r="K6" s="4" t="str">
        <f t="shared" si="3"/>
        <v>Whiscola F.C.C.</v>
      </c>
      <c r="L6">
        <v>2</v>
      </c>
      <c r="M6">
        <v>6</v>
      </c>
      <c r="N6" t="s">
        <v>14</v>
      </c>
      <c r="S6">
        <v>6</v>
      </c>
      <c r="T6" t="s">
        <v>35</v>
      </c>
    </row>
    <row r="7" spans="1:20" x14ac:dyDescent="0.25">
      <c r="A7">
        <v>10</v>
      </c>
      <c r="B7">
        <v>4</v>
      </c>
      <c r="C7" s="4" t="str">
        <f t="shared" si="0"/>
        <v>La Scaloneta</v>
      </c>
      <c r="D7" s="4" t="str">
        <f t="shared" si="1"/>
        <v>Los Suplentes</v>
      </c>
      <c r="E7" t="str">
        <f t="shared" si="4"/>
        <v>Martes 4 de JuLio</v>
      </c>
      <c r="F7" s="1">
        <f t="shared" si="2"/>
        <v>0.83333333333333337</v>
      </c>
      <c r="I7">
        <v>3</v>
      </c>
      <c r="J7">
        <v>3</v>
      </c>
      <c r="K7" s="4" t="str">
        <f t="shared" si="3"/>
        <v>All Inclusive F.C.</v>
      </c>
      <c r="L7">
        <v>1</v>
      </c>
      <c r="M7">
        <v>7</v>
      </c>
      <c r="N7" t="s">
        <v>15</v>
      </c>
      <c r="S7">
        <v>7</v>
      </c>
      <c r="T7" t="s">
        <v>36</v>
      </c>
    </row>
    <row r="8" spans="1:20" x14ac:dyDescent="0.25">
      <c r="A8">
        <v>11</v>
      </c>
      <c r="B8">
        <v>3</v>
      </c>
      <c r="C8" s="4" t="str">
        <f t="shared" si="0"/>
        <v>Sala Azul Remix</v>
      </c>
      <c r="D8" s="4" t="str">
        <f t="shared" si="1"/>
        <v>All Inclusive F.C.</v>
      </c>
      <c r="E8" t="str">
        <f t="shared" si="4"/>
        <v>Martes 4 de JuLio</v>
      </c>
      <c r="F8" s="1">
        <f t="shared" si="2"/>
        <v>0.86805555555555547</v>
      </c>
      <c r="I8">
        <v>10</v>
      </c>
      <c r="J8">
        <v>3</v>
      </c>
      <c r="K8" s="4" t="str">
        <f t="shared" si="3"/>
        <v>La Scaloneta</v>
      </c>
      <c r="L8">
        <v>2</v>
      </c>
      <c r="M8">
        <v>8</v>
      </c>
      <c r="N8" t="s">
        <v>16</v>
      </c>
      <c r="S8">
        <v>8</v>
      </c>
      <c r="T8" t="s">
        <v>37</v>
      </c>
    </row>
    <row r="9" spans="1:20" x14ac:dyDescent="0.25">
      <c r="A9">
        <v>9</v>
      </c>
      <c r="B9">
        <v>1</v>
      </c>
      <c r="C9" s="4" t="str">
        <f t="shared" si="0"/>
        <v>Whiscola F.C.C.</v>
      </c>
      <c r="D9" s="4" t="str">
        <f t="shared" si="1"/>
        <v>La Naranja Geriatrica</v>
      </c>
      <c r="E9" t="str">
        <f t="shared" si="4"/>
        <v>Martes 4 de JuLio</v>
      </c>
      <c r="F9" s="1">
        <f t="shared" si="2"/>
        <v>0.90277777777777779</v>
      </c>
      <c r="I9">
        <v>11</v>
      </c>
      <c r="J9">
        <v>3</v>
      </c>
      <c r="K9" s="4" t="str">
        <f t="shared" si="3"/>
        <v>Sala Azul Remix</v>
      </c>
      <c r="L9">
        <v>3</v>
      </c>
      <c r="M9">
        <v>9</v>
      </c>
      <c r="N9" t="s">
        <v>17</v>
      </c>
      <c r="S9">
        <v>9</v>
      </c>
      <c r="T9" t="s">
        <v>38</v>
      </c>
    </row>
    <row r="10" spans="1:20" x14ac:dyDescent="0.25">
      <c r="A10">
        <v>7</v>
      </c>
      <c r="B10">
        <v>5</v>
      </c>
      <c r="C10" s="4" t="str">
        <f t="shared" si="0"/>
        <v>Rejunte FC</v>
      </c>
      <c r="D10" s="4" t="str">
        <f t="shared" si="1"/>
        <v>Pablo &amp; Los Sextos</v>
      </c>
      <c r="E10" t="str">
        <f t="shared" si="4"/>
        <v>Jueves 6 de JuLio</v>
      </c>
      <c r="F10" s="1">
        <f t="shared" si="2"/>
        <v>0.83333333333333337</v>
      </c>
      <c r="I10">
        <v>6</v>
      </c>
      <c r="J10">
        <v>4</v>
      </c>
      <c r="K10" s="4" t="str">
        <f t="shared" si="3"/>
        <v>Carlinga</v>
      </c>
      <c r="L10">
        <v>1</v>
      </c>
      <c r="M10">
        <v>10</v>
      </c>
      <c r="N10" t="s">
        <v>7</v>
      </c>
      <c r="S10">
        <v>10</v>
      </c>
      <c r="T10" t="s">
        <v>39</v>
      </c>
    </row>
    <row r="11" spans="1:20" x14ac:dyDescent="0.25">
      <c r="A11">
        <v>8</v>
      </c>
      <c r="B11">
        <v>6</v>
      </c>
      <c r="C11" s="4" t="str">
        <f t="shared" si="0"/>
        <v>Los PapiFootball</v>
      </c>
      <c r="D11" s="4" t="str">
        <f t="shared" si="1"/>
        <v>Carlinga</v>
      </c>
      <c r="E11" t="str">
        <f t="shared" si="4"/>
        <v>Jueves 6 de JuLio</v>
      </c>
      <c r="F11" s="1">
        <f t="shared" si="2"/>
        <v>0.86805555555555547</v>
      </c>
      <c r="I11">
        <v>7</v>
      </c>
      <c r="J11">
        <v>4</v>
      </c>
      <c r="K11" s="4" t="str">
        <f t="shared" si="3"/>
        <v>Rejunte FC</v>
      </c>
      <c r="L11">
        <v>2</v>
      </c>
      <c r="M11">
        <v>11</v>
      </c>
      <c r="N11" t="s">
        <v>8</v>
      </c>
      <c r="S11">
        <v>11</v>
      </c>
      <c r="T11" t="s">
        <v>40</v>
      </c>
    </row>
    <row r="12" spans="1:20" x14ac:dyDescent="0.25">
      <c r="A12">
        <v>8</v>
      </c>
      <c r="B12">
        <v>7</v>
      </c>
      <c r="C12" s="4" t="str">
        <f t="shared" si="0"/>
        <v>Los PapiFootball</v>
      </c>
      <c r="D12" s="4" t="str">
        <f t="shared" si="1"/>
        <v>Rejunte FC</v>
      </c>
      <c r="E12" t="str">
        <f t="shared" si="4"/>
        <v>Martes 11 de JuLio</v>
      </c>
      <c r="F12" s="1">
        <f t="shared" si="2"/>
        <v>0.83333333333333337</v>
      </c>
      <c r="I12">
        <v>5</v>
      </c>
      <c r="J12">
        <v>5</v>
      </c>
      <c r="K12" s="4" t="str">
        <f t="shared" si="3"/>
        <v>Pablo &amp; Los Sextos</v>
      </c>
      <c r="L12">
        <v>1</v>
      </c>
      <c r="M12">
        <v>12</v>
      </c>
      <c r="N12" t="s">
        <v>9</v>
      </c>
    </row>
    <row r="13" spans="1:20" x14ac:dyDescent="0.25">
      <c r="A13">
        <v>9</v>
      </c>
      <c r="B13">
        <v>5</v>
      </c>
      <c r="C13" s="4" t="str">
        <f t="shared" si="0"/>
        <v>Whiscola F.C.C.</v>
      </c>
      <c r="D13" s="4" t="str">
        <f t="shared" si="1"/>
        <v>Pablo &amp; Los Sextos</v>
      </c>
      <c r="E13" t="str">
        <f t="shared" si="4"/>
        <v>Martes 11 de JuLio</v>
      </c>
      <c r="F13" s="1">
        <f t="shared" si="2"/>
        <v>0.86805555555555547</v>
      </c>
      <c r="I13">
        <v>8</v>
      </c>
      <c r="J13">
        <v>5</v>
      </c>
      <c r="K13" s="4" t="str">
        <f t="shared" si="3"/>
        <v>Los PapiFootball</v>
      </c>
      <c r="L13">
        <v>2</v>
      </c>
      <c r="M13">
        <v>13</v>
      </c>
      <c r="N13" t="s">
        <v>18</v>
      </c>
    </row>
    <row r="14" spans="1:20" x14ac:dyDescent="0.25">
      <c r="A14">
        <v>10</v>
      </c>
      <c r="B14">
        <v>6</v>
      </c>
      <c r="C14" s="4" t="str">
        <f t="shared" si="0"/>
        <v>La Scaloneta</v>
      </c>
      <c r="D14" s="4" t="str">
        <f t="shared" si="1"/>
        <v>Carlinga</v>
      </c>
      <c r="E14" t="str">
        <f t="shared" si="4"/>
        <v>Martes 11 de JuLio</v>
      </c>
      <c r="F14" s="1">
        <f t="shared" si="2"/>
        <v>0.90277777777777779</v>
      </c>
      <c r="I14">
        <v>9</v>
      </c>
      <c r="J14">
        <v>5</v>
      </c>
      <c r="K14" s="4" t="str">
        <f t="shared" si="3"/>
        <v>Whiscola F.C.C.</v>
      </c>
      <c r="L14">
        <v>3</v>
      </c>
      <c r="M14">
        <v>14</v>
      </c>
      <c r="N14" t="s">
        <v>19</v>
      </c>
    </row>
    <row r="15" spans="1:20" x14ac:dyDescent="0.25">
      <c r="A15">
        <v>11</v>
      </c>
      <c r="B15">
        <v>1</v>
      </c>
      <c r="C15" s="4" t="str">
        <f t="shared" si="0"/>
        <v>Sala Azul Remix</v>
      </c>
      <c r="D15" s="4" t="str">
        <f t="shared" si="1"/>
        <v>La Naranja Geriatrica</v>
      </c>
      <c r="E15" t="str">
        <f t="shared" si="4"/>
        <v>Jueves 13 de JuLio</v>
      </c>
      <c r="F15" s="1">
        <f t="shared" si="2"/>
        <v>0.83333333333333337</v>
      </c>
      <c r="I15">
        <v>4</v>
      </c>
      <c r="J15">
        <v>6</v>
      </c>
      <c r="K15" s="4" t="str">
        <f t="shared" si="3"/>
        <v>Los Suplentes</v>
      </c>
      <c r="L15">
        <v>1</v>
      </c>
      <c r="M15">
        <v>15</v>
      </c>
      <c r="N15" t="s">
        <v>20</v>
      </c>
    </row>
    <row r="16" spans="1:20" x14ac:dyDescent="0.25">
      <c r="A16">
        <v>2</v>
      </c>
      <c r="B16">
        <v>4</v>
      </c>
      <c r="C16" s="4" t="str">
        <f t="shared" si="0"/>
        <v>Farola FC</v>
      </c>
      <c r="D16" s="4" t="str">
        <f t="shared" si="1"/>
        <v>Los Suplentes</v>
      </c>
      <c r="E16" t="str">
        <f t="shared" si="4"/>
        <v>Jueves 13 de JuLio</v>
      </c>
      <c r="F16" s="1">
        <f t="shared" si="2"/>
        <v>0.86805555555555547</v>
      </c>
      <c r="I16">
        <v>11</v>
      </c>
      <c r="J16">
        <v>6</v>
      </c>
      <c r="K16" s="4" t="str">
        <f t="shared" si="3"/>
        <v>Sala Azul Remix</v>
      </c>
      <c r="L16">
        <v>2</v>
      </c>
      <c r="M16">
        <v>16</v>
      </c>
      <c r="N16" t="s">
        <v>21</v>
      </c>
    </row>
    <row r="17" spans="1:14" x14ac:dyDescent="0.25">
      <c r="A17">
        <v>2</v>
      </c>
      <c r="B17">
        <v>6</v>
      </c>
      <c r="C17" s="4" t="str">
        <f t="shared" si="0"/>
        <v>Farola FC</v>
      </c>
      <c r="D17" s="4" t="str">
        <f t="shared" si="1"/>
        <v>Carlinga</v>
      </c>
      <c r="E17" t="str">
        <f t="shared" si="4"/>
        <v>Martes 01 de Agosto</v>
      </c>
      <c r="F17" s="1">
        <f t="shared" si="2"/>
        <v>0.83333333333333337</v>
      </c>
      <c r="I17">
        <v>1</v>
      </c>
      <c r="J17">
        <v>7</v>
      </c>
      <c r="K17" s="4" t="str">
        <f t="shared" si="3"/>
        <v>La Naranja Geriatrica</v>
      </c>
      <c r="L17">
        <v>1</v>
      </c>
      <c r="M17">
        <v>17</v>
      </c>
      <c r="N17" t="s">
        <v>22</v>
      </c>
    </row>
    <row r="18" spans="1:14" x14ac:dyDescent="0.25">
      <c r="A18">
        <v>3</v>
      </c>
      <c r="B18">
        <v>1</v>
      </c>
      <c r="C18" s="4" t="str">
        <f t="shared" si="0"/>
        <v>All Inclusive F.C.</v>
      </c>
      <c r="D18" s="4" t="str">
        <f t="shared" si="1"/>
        <v>La Naranja Geriatrica</v>
      </c>
      <c r="E18" t="str">
        <f t="shared" si="4"/>
        <v>Martes 01 de Agosto</v>
      </c>
      <c r="F18" s="1">
        <f t="shared" si="2"/>
        <v>0.86805555555555547</v>
      </c>
      <c r="I18">
        <v>2</v>
      </c>
      <c r="J18">
        <v>7</v>
      </c>
      <c r="K18" s="4" t="str">
        <f t="shared" si="3"/>
        <v>Farola FC</v>
      </c>
      <c r="L18">
        <v>2</v>
      </c>
      <c r="M18">
        <v>18</v>
      </c>
      <c r="N18" t="s">
        <v>23</v>
      </c>
    </row>
    <row r="19" spans="1:14" x14ac:dyDescent="0.25">
      <c r="A19">
        <v>11</v>
      </c>
      <c r="B19">
        <v>5</v>
      </c>
      <c r="C19" s="4" t="str">
        <f t="shared" si="0"/>
        <v>Sala Azul Remix</v>
      </c>
      <c r="D19" s="4" t="str">
        <f t="shared" si="1"/>
        <v>Pablo &amp; Los Sextos</v>
      </c>
      <c r="E19" t="str">
        <f t="shared" si="4"/>
        <v>Martes 01 de Agosto</v>
      </c>
      <c r="F19" s="1">
        <f t="shared" si="2"/>
        <v>0.90277777777777779</v>
      </c>
      <c r="I19">
        <v>3</v>
      </c>
      <c r="J19">
        <v>7</v>
      </c>
      <c r="K19" s="4" t="str">
        <f t="shared" si="3"/>
        <v>All Inclusive F.C.</v>
      </c>
      <c r="L19">
        <v>3</v>
      </c>
      <c r="M19">
        <v>19</v>
      </c>
      <c r="N19" t="s">
        <v>25</v>
      </c>
    </row>
    <row r="20" spans="1:14" x14ac:dyDescent="0.25">
      <c r="A20">
        <v>9</v>
      </c>
      <c r="B20">
        <v>8</v>
      </c>
      <c r="C20" s="4" t="str">
        <f t="shared" si="0"/>
        <v>Whiscola F.C.C.</v>
      </c>
      <c r="D20" s="4" t="str">
        <f t="shared" si="1"/>
        <v>Los PapiFootball</v>
      </c>
      <c r="E20" t="str">
        <f t="shared" si="4"/>
        <v>Jueves 03 de Agosto</v>
      </c>
      <c r="F20" s="1">
        <f t="shared" si="2"/>
        <v>0.83333333333333337</v>
      </c>
      <c r="I20">
        <v>7</v>
      </c>
      <c r="J20">
        <v>8</v>
      </c>
      <c r="K20" s="4" t="str">
        <f t="shared" si="3"/>
        <v>Rejunte FC</v>
      </c>
      <c r="L20">
        <v>1</v>
      </c>
      <c r="M20">
        <v>20</v>
      </c>
      <c r="N20" t="s">
        <v>24</v>
      </c>
    </row>
    <row r="21" spans="1:14" x14ac:dyDescent="0.25">
      <c r="A21">
        <v>10</v>
      </c>
      <c r="B21">
        <v>7</v>
      </c>
      <c r="C21" s="4" t="str">
        <f t="shared" si="0"/>
        <v>La Scaloneta</v>
      </c>
      <c r="D21" s="4" t="str">
        <f t="shared" si="1"/>
        <v>Rejunte FC</v>
      </c>
      <c r="E21" t="str">
        <f t="shared" si="4"/>
        <v>Jueves 03 de Agosto</v>
      </c>
      <c r="F21" s="1">
        <f t="shared" si="2"/>
        <v>0.86805555555555547</v>
      </c>
      <c r="I21">
        <v>9</v>
      </c>
      <c r="J21">
        <v>8</v>
      </c>
      <c r="K21" s="4" t="str">
        <f t="shared" si="3"/>
        <v>Whiscola F.C.C.</v>
      </c>
      <c r="L21">
        <v>2</v>
      </c>
      <c r="M21">
        <v>21</v>
      </c>
      <c r="N21" t="s">
        <v>26</v>
      </c>
    </row>
    <row r="22" spans="1:14" x14ac:dyDescent="0.25">
      <c r="A22">
        <v>10</v>
      </c>
      <c r="B22">
        <v>9</v>
      </c>
      <c r="C22" s="4" t="str">
        <f t="shared" si="0"/>
        <v>La Scaloneta</v>
      </c>
      <c r="D22" s="4" t="str">
        <f t="shared" si="1"/>
        <v>Whiscola F.C.C.</v>
      </c>
      <c r="E22" t="str">
        <f t="shared" ref="E22:E36" si="5">VLOOKUP(J22,$M$1:$N$18,2,FALSE)</f>
        <v>Martes 08 de Agosto</v>
      </c>
      <c r="F22" s="1">
        <f t="shared" ref="F22:F36" si="6">VLOOKUP(L22,$P$1:$Q$3,2,FALSE)</f>
        <v>0.83333333333333337</v>
      </c>
      <c r="I22">
        <v>8</v>
      </c>
      <c r="J22">
        <v>9</v>
      </c>
      <c r="K22" s="4" t="str">
        <f t="shared" si="3"/>
        <v>Los PapiFootball</v>
      </c>
      <c r="L22">
        <v>1</v>
      </c>
      <c r="M22">
        <v>22</v>
      </c>
      <c r="N22" t="s">
        <v>27</v>
      </c>
    </row>
    <row r="23" spans="1:14" x14ac:dyDescent="0.25">
      <c r="A23">
        <v>11</v>
      </c>
      <c r="B23">
        <v>8</v>
      </c>
      <c r="C23" s="4" t="str">
        <f t="shared" si="0"/>
        <v>Sala Azul Remix</v>
      </c>
      <c r="D23" s="4" t="str">
        <f t="shared" si="1"/>
        <v>Los PapiFootball</v>
      </c>
      <c r="E23" t="str">
        <f t="shared" si="5"/>
        <v>Martes 08 de Agosto</v>
      </c>
      <c r="F23" s="1">
        <f t="shared" si="6"/>
        <v>0.86805555555555547</v>
      </c>
      <c r="I23">
        <v>10</v>
      </c>
      <c r="J23">
        <v>9</v>
      </c>
      <c r="K23" s="4" t="str">
        <f t="shared" si="3"/>
        <v>La Scaloneta</v>
      </c>
      <c r="L23">
        <v>2</v>
      </c>
    </row>
    <row r="24" spans="1:14" x14ac:dyDescent="0.25">
      <c r="A24">
        <v>2</v>
      </c>
      <c r="B24">
        <v>7</v>
      </c>
      <c r="C24" s="4" t="str">
        <f t="shared" si="0"/>
        <v>Farola FC</v>
      </c>
      <c r="D24" s="4" t="str">
        <f t="shared" si="1"/>
        <v>Rejunte FC</v>
      </c>
      <c r="E24" t="str">
        <f t="shared" si="5"/>
        <v>Martes 08 de Agosto</v>
      </c>
      <c r="F24" s="1">
        <f t="shared" si="6"/>
        <v>0.90277777777777779</v>
      </c>
      <c r="I24">
        <v>11</v>
      </c>
      <c r="J24">
        <v>9</v>
      </c>
      <c r="K24" s="4" t="str">
        <f t="shared" si="3"/>
        <v>Sala Azul Remix</v>
      </c>
      <c r="L24">
        <v>3</v>
      </c>
    </row>
    <row r="25" spans="1:14" x14ac:dyDescent="0.25">
      <c r="A25">
        <v>3</v>
      </c>
      <c r="B25">
        <v>5</v>
      </c>
      <c r="C25" s="4" t="str">
        <f t="shared" si="0"/>
        <v>All Inclusive F.C.</v>
      </c>
      <c r="D25" s="4" t="str">
        <f t="shared" si="1"/>
        <v>Pablo &amp; Los Sextos</v>
      </c>
      <c r="E25" t="str">
        <f t="shared" si="5"/>
        <v>Jueves 10 de Agosto</v>
      </c>
      <c r="F25" s="1">
        <f t="shared" si="6"/>
        <v>0.83333333333333337</v>
      </c>
      <c r="I25">
        <v>6</v>
      </c>
      <c r="J25">
        <v>10</v>
      </c>
      <c r="K25" s="4" t="str">
        <f t="shared" si="3"/>
        <v>Carlinga</v>
      </c>
      <c r="L25">
        <v>1</v>
      </c>
    </row>
    <row r="26" spans="1:14" x14ac:dyDescent="0.25">
      <c r="A26">
        <v>4</v>
      </c>
      <c r="B26">
        <v>6</v>
      </c>
      <c r="C26" s="4" t="str">
        <f t="shared" si="0"/>
        <v>Los Suplentes</v>
      </c>
      <c r="D26" s="4" t="str">
        <f t="shared" si="1"/>
        <v>Carlinga</v>
      </c>
      <c r="E26" t="str">
        <f t="shared" si="5"/>
        <v>Jueves 10 de Agosto</v>
      </c>
      <c r="F26" s="1">
        <f t="shared" si="6"/>
        <v>0.86805555555555547</v>
      </c>
      <c r="I26">
        <v>3</v>
      </c>
      <c r="J26">
        <v>10</v>
      </c>
      <c r="K26" s="4" t="str">
        <f t="shared" si="3"/>
        <v>All Inclusive F.C.</v>
      </c>
      <c r="L26">
        <v>2</v>
      </c>
    </row>
    <row r="27" spans="1:14" x14ac:dyDescent="0.25">
      <c r="A27">
        <v>4</v>
      </c>
      <c r="B27">
        <v>7</v>
      </c>
      <c r="C27" s="4" t="str">
        <f t="shared" si="0"/>
        <v>Los Suplentes</v>
      </c>
      <c r="D27" s="4" t="str">
        <f t="shared" si="1"/>
        <v>Rejunte FC</v>
      </c>
      <c r="E27" t="str">
        <f t="shared" si="5"/>
        <v>Martes 15 de Agosto</v>
      </c>
      <c r="F27" s="1">
        <f t="shared" si="6"/>
        <v>0.83333333333333337</v>
      </c>
      <c r="I27">
        <v>5</v>
      </c>
      <c r="J27">
        <v>11</v>
      </c>
      <c r="K27" s="4" t="str">
        <f t="shared" si="3"/>
        <v>Pablo &amp; Los Sextos</v>
      </c>
      <c r="L27">
        <v>1</v>
      </c>
    </row>
    <row r="28" spans="1:14" x14ac:dyDescent="0.25">
      <c r="A28">
        <v>1</v>
      </c>
      <c r="B28">
        <v>5</v>
      </c>
      <c r="C28" s="4" t="str">
        <f t="shared" si="0"/>
        <v>La Naranja Geriatrica</v>
      </c>
      <c r="D28" s="4" t="str">
        <f t="shared" si="1"/>
        <v>Pablo &amp; Los Sextos</v>
      </c>
      <c r="E28" t="str">
        <f t="shared" si="5"/>
        <v>Martes 15 de Agosto</v>
      </c>
      <c r="F28" s="1">
        <f t="shared" si="6"/>
        <v>0.86805555555555547</v>
      </c>
      <c r="I28">
        <v>4</v>
      </c>
      <c r="J28">
        <v>11</v>
      </c>
      <c r="K28" s="4" t="str">
        <f t="shared" si="3"/>
        <v>Los Suplentes</v>
      </c>
      <c r="L28">
        <v>2</v>
      </c>
    </row>
    <row r="29" spans="1:14" x14ac:dyDescent="0.25">
      <c r="A29">
        <v>3</v>
      </c>
      <c r="B29">
        <v>8</v>
      </c>
      <c r="C29" s="4" t="str">
        <f t="shared" si="0"/>
        <v>All Inclusive F.C.</v>
      </c>
      <c r="D29" s="4" t="str">
        <f t="shared" si="1"/>
        <v>Los PapiFootball</v>
      </c>
      <c r="E29" t="str">
        <f t="shared" si="5"/>
        <v>Martes 15 de Agosto</v>
      </c>
      <c r="F29" s="1">
        <f t="shared" si="6"/>
        <v>0.90277777777777779</v>
      </c>
      <c r="I29">
        <v>1</v>
      </c>
      <c r="J29">
        <v>11</v>
      </c>
      <c r="K29" s="4" t="str">
        <f t="shared" si="3"/>
        <v>La Naranja Geriatrica</v>
      </c>
      <c r="L29">
        <v>3</v>
      </c>
    </row>
    <row r="30" spans="1:14" x14ac:dyDescent="0.25">
      <c r="A30">
        <v>10</v>
      </c>
      <c r="B30">
        <v>11</v>
      </c>
      <c r="C30" s="4" t="str">
        <f t="shared" si="0"/>
        <v>La Scaloneta</v>
      </c>
      <c r="D30" s="4" t="str">
        <f t="shared" si="1"/>
        <v>Sala Azul Remix</v>
      </c>
      <c r="E30" t="str">
        <f t="shared" si="5"/>
        <v>Jueves 17 de Agosto</v>
      </c>
      <c r="F30" s="1">
        <f t="shared" si="6"/>
        <v>0.83333333333333337</v>
      </c>
      <c r="I30">
        <v>9</v>
      </c>
      <c r="J30">
        <v>12</v>
      </c>
      <c r="K30" s="4" t="str">
        <f t="shared" si="3"/>
        <v>Whiscola F.C.C.</v>
      </c>
      <c r="L30">
        <v>1</v>
      </c>
    </row>
    <row r="31" spans="1:14" x14ac:dyDescent="0.25">
      <c r="A31">
        <v>2</v>
      </c>
      <c r="B31">
        <v>9</v>
      </c>
      <c r="C31" s="4" t="str">
        <f t="shared" si="0"/>
        <v>Farola FC</v>
      </c>
      <c r="D31" s="4" t="str">
        <f t="shared" si="1"/>
        <v>Whiscola F.C.C.</v>
      </c>
      <c r="E31" t="str">
        <f t="shared" si="5"/>
        <v>Jueves 17 de Agosto</v>
      </c>
      <c r="F31" s="1">
        <f t="shared" si="6"/>
        <v>0.86805555555555547</v>
      </c>
      <c r="I31">
        <v>10</v>
      </c>
      <c r="J31">
        <v>12</v>
      </c>
      <c r="K31" s="4" t="str">
        <f t="shared" si="3"/>
        <v>La Scaloneta</v>
      </c>
      <c r="L31">
        <v>2</v>
      </c>
    </row>
    <row r="32" spans="1:14" x14ac:dyDescent="0.25">
      <c r="A32">
        <v>2</v>
      </c>
      <c r="B32">
        <v>11</v>
      </c>
      <c r="C32" s="4" t="str">
        <f t="shared" si="0"/>
        <v>Farola FC</v>
      </c>
      <c r="D32" s="4" t="str">
        <f t="shared" si="1"/>
        <v>Sala Azul Remix</v>
      </c>
      <c r="E32" t="str">
        <f t="shared" si="5"/>
        <v>Martes 22 de Agosto</v>
      </c>
      <c r="F32" s="1">
        <f t="shared" si="6"/>
        <v>0.83333333333333337</v>
      </c>
      <c r="I32">
        <v>10</v>
      </c>
      <c r="J32">
        <v>13</v>
      </c>
      <c r="K32" s="4" t="str">
        <f t="shared" si="3"/>
        <v>La Scaloneta</v>
      </c>
      <c r="L32">
        <v>1</v>
      </c>
    </row>
    <row r="33" spans="1:12" x14ac:dyDescent="0.25">
      <c r="A33">
        <v>3</v>
      </c>
      <c r="B33">
        <v>10</v>
      </c>
      <c r="C33" s="4" t="str">
        <f t="shared" si="0"/>
        <v>All Inclusive F.C.</v>
      </c>
      <c r="D33" s="4" t="str">
        <f t="shared" si="1"/>
        <v>La Scaloneta</v>
      </c>
      <c r="E33" t="str">
        <f t="shared" si="5"/>
        <v>Martes 22 de Agosto</v>
      </c>
      <c r="F33" s="1">
        <f t="shared" si="6"/>
        <v>0.86805555555555547</v>
      </c>
      <c r="I33">
        <v>2</v>
      </c>
      <c r="J33">
        <v>13</v>
      </c>
      <c r="K33" s="4" t="str">
        <f t="shared" si="3"/>
        <v>Farola FC</v>
      </c>
      <c r="L33">
        <v>2</v>
      </c>
    </row>
    <row r="34" spans="1:12" x14ac:dyDescent="0.25">
      <c r="A34">
        <v>4</v>
      </c>
      <c r="B34">
        <v>9</v>
      </c>
      <c r="C34" s="4" t="str">
        <f t="shared" si="0"/>
        <v>Los Suplentes</v>
      </c>
      <c r="D34" s="4" t="str">
        <f t="shared" si="1"/>
        <v>Whiscola F.C.C.</v>
      </c>
      <c r="E34" t="str">
        <f t="shared" si="5"/>
        <v>Martes 22 de Agosto</v>
      </c>
      <c r="F34" s="1">
        <f t="shared" si="6"/>
        <v>0.90277777777777779</v>
      </c>
      <c r="I34">
        <v>3</v>
      </c>
      <c r="J34">
        <v>13</v>
      </c>
      <c r="K34" s="4" t="str">
        <f t="shared" si="3"/>
        <v>All Inclusive F.C.</v>
      </c>
      <c r="L34">
        <v>3</v>
      </c>
    </row>
    <row r="35" spans="1:12" x14ac:dyDescent="0.25">
      <c r="A35">
        <v>1</v>
      </c>
      <c r="B35">
        <v>8</v>
      </c>
      <c r="C35" s="4" t="str">
        <f t="shared" si="0"/>
        <v>La Naranja Geriatrica</v>
      </c>
      <c r="D35" s="4" t="str">
        <f t="shared" si="1"/>
        <v>Los PapiFootball</v>
      </c>
      <c r="E35" t="str">
        <f t="shared" si="5"/>
        <v>Jueves 24 de Agosto</v>
      </c>
      <c r="F35" s="1">
        <f t="shared" si="6"/>
        <v>0.83333333333333337</v>
      </c>
      <c r="I35">
        <v>7</v>
      </c>
      <c r="J35">
        <v>14</v>
      </c>
      <c r="K35" s="4" t="str">
        <f t="shared" si="3"/>
        <v>Rejunte FC</v>
      </c>
      <c r="L35">
        <v>1</v>
      </c>
    </row>
    <row r="36" spans="1:12" x14ac:dyDescent="0.25">
      <c r="A36">
        <v>6</v>
      </c>
      <c r="B36">
        <v>7</v>
      </c>
      <c r="C36" s="4" t="str">
        <f t="shared" si="0"/>
        <v>Carlinga</v>
      </c>
      <c r="D36" s="4" t="str">
        <f t="shared" si="1"/>
        <v>Rejunte FC</v>
      </c>
      <c r="E36" t="str">
        <f t="shared" si="5"/>
        <v>Jueves 24 de Agosto</v>
      </c>
      <c r="F36" s="1">
        <f t="shared" si="6"/>
        <v>0.86805555555555547</v>
      </c>
      <c r="I36">
        <v>1</v>
      </c>
      <c r="J36">
        <v>14</v>
      </c>
      <c r="K36" s="4" t="str">
        <f t="shared" si="3"/>
        <v>La Naranja Geriatrica</v>
      </c>
      <c r="L36">
        <v>2</v>
      </c>
    </row>
    <row r="37" spans="1:12" x14ac:dyDescent="0.25">
      <c r="A37">
        <v>6</v>
      </c>
      <c r="B37">
        <v>9</v>
      </c>
      <c r="C37" s="4" t="str">
        <f t="shared" si="0"/>
        <v>Carlinga</v>
      </c>
      <c r="D37" s="4" t="str">
        <f t="shared" si="1"/>
        <v>Whiscola F.C.C.</v>
      </c>
      <c r="E37" t="str">
        <f t="shared" ref="E37:E54" si="7">VLOOKUP(J37,$M$1:$N$18,2,FALSE)</f>
        <v>Martes 29 de Agosto</v>
      </c>
      <c r="F37" s="1">
        <f t="shared" ref="F37:F54" si="8">VLOOKUP(L37,$P$1:$Q$3,2,FALSE)</f>
        <v>0.83333333333333337</v>
      </c>
      <c r="I37">
        <v>8</v>
      </c>
      <c r="J37">
        <v>15</v>
      </c>
      <c r="K37" s="4" t="str">
        <f t="shared" si="3"/>
        <v>Los PapiFootball</v>
      </c>
      <c r="L37">
        <v>1</v>
      </c>
    </row>
    <row r="38" spans="1:12" x14ac:dyDescent="0.25">
      <c r="A38">
        <v>5</v>
      </c>
      <c r="B38">
        <v>8</v>
      </c>
      <c r="C38" s="4" t="str">
        <f t="shared" si="0"/>
        <v>Pablo &amp; Los Sextos</v>
      </c>
      <c r="D38" s="4" t="str">
        <f t="shared" si="1"/>
        <v>Los PapiFootball</v>
      </c>
      <c r="E38" t="str">
        <f t="shared" si="7"/>
        <v>Martes 29 de Agosto</v>
      </c>
      <c r="F38" s="1">
        <f t="shared" si="8"/>
        <v>0.86805555555555547</v>
      </c>
      <c r="I38">
        <v>6</v>
      </c>
      <c r="J38">
        <v>15</v>
      </c>
      <c r="K38" s="4" t="str">
        <f t="shared" si="3"/>
        <v>Carlinga</v>
      </c>
      <c r="L38">
        <v>2</v>
      </c>
    </row>
    <row r="39" spans="1:12" x14ac:dyDescent="0.25">
      <c r="A39">
        <v>1</v>
      </c>
      <c r="B39">
        <v>10</v>
      </c>
      <c r="C39" s="4" t="str">
        <f t="shared" si="0"/>
        <v>La Naranja Geriatrica</v>
      </c>
      <c r="D39" s="4" t="str">
        <f t="shared" si="1"/>
        <v>La Scaloneta</v>
      </c>
      <c r="E39" t="str">
        <f t="shared" si="7"/>
        <v>Martes 29 de Agosto</v>
      </c>
      <c r="F39" s="1">
        <f t="shared" si="8"/>
        <v>0.90277777777777779</v>
      </c>
      <c r="I39">
        <v>5</v>
      </c>
      <c r="J39">
        <v>15</v>
      </c>
      <c r="K39" s="4" t="str">
        <f t="shared" si="3"/>
        <v>Pablo &amp; Los Sextos</v>
      </c>
      <c r="L39">
        <v>3</v>
      </c>
    </row>
    <row r="40" spans="1:12" x14ac:dyDescent="0.25">
      <c r="A40">
        <v>2</v>
      </c>
      <c r="B40">
        <v>3</v>
      </c>
      <c r="C40" s="4" t="str">
        <f t="shared" si="0"/>
        <v>Farola FC</v>
      </c>
      <c r="D40" s="4" t="str">
        <f t="shared" si="1"/>
        <v>All Inclusive F.C.</v>
      </c>
      <c r="E40" t="str">
        <f t="shared" si="7"/>
        <v>Jueves 31 de Agosto</v>
      </c>
      <c r="F40" s="1">
        <f t="shared" si="8"/>
        <v>0.83333333333333337</v>
      </c>
      <c r="I40">
        <v>11</v>
      </c>
      <c r="J40">
        <v>16</v>
      </c>
      <c r="K40" s="4" t="str">
        <f t="shared" si="3"/>
        <v>Sala Azul Remix</v>
      </c>
      <c r="L40">
        <v>1</v>
      </c>
    </row>
    <row r="41" spans="1:12" x14ac:dyDescent="0.25">
      <c r="A41">
        <v>4</v>
      </c>
      <c r="B41">
        <v>11</v>
      </c>
      <c r="C41" s="4" t="str">
        <f t="shared" si="0"/>
        <v>Los Suplentes</v>
      </c>
      <c r="D41" s="4" t="str">
        <f t="shared" si="1"/>
        <v>Sala Azul Remix</v>
      </c>
      <c r="E41" t="str">
        <f>VLOOKUP(J41,$M$1:$N$22,2,FALSE)</f>
        <v>Jueves 31 de Agosto</v>
      </c>
      <c r="F41" s="1">
        <f t="shared" si="8"/>
        <v>0.86805555555555547</v>
      </c>
      <c r="I41">
        <v>2</v>
      </c>
      <c r="J41">
        <v>16</v>
      </c>
      <c r="K41" s="4" t="str">
        <f t="shared" si="3"/>
        <v>Farola FC</v>
      </c>
      <c r="L41">
        <v>2</v>
      </c>
    </row>
    <row r="42" spans="1:12" x14ac:dyDescent="0.25">
      <c r="A42">
        <v>4</v>
      </c>
      <c r="B42">
        <v>3</v>
      </c>
      <c r="C42" s="4" t="str">
        <f t="shared" si="0"/>
        <v>Los Suplentes</v>
      </c>
      <c r="D42" s="4" t="str">
        <f t="shared" si="1"/>
        <v>All Inclusive F.C.</v>
      </c>
      <c r="E42" t="str">
        <f t="shared" ref="E42:E56" si="9">VLOOKUP(J42,$M$1:$N$22,2,FALSE)</f>
        <v>Martes 05 de Septiembre</v>
      </c>
      <c r="F42" s="1">
        <f t="shared" si="8"/>
        <v>0.83333333333333337</v>
      </c>
      <c r="I42">
        <v>2</v>
      </c>
      <c r="J42">
        <v>17</v>
      </c>
      <c r="K42" s="4" t="str">
        <f t="shared" si="3"/>
        <v>Farola FC</v>
      </c>
      <c r="L42">
        <v>1</v>
      </c>
    </row>
    <row r="43" spans="1:12" x14ac:dyDescent="0.25">
      <c r="A43">
        <v>1</v>
      </c>
      <c r="B43">
        <v>2</v>
      </c>
      <c r="C43" s="4" t="str">
        <f t="shared" si="0"/>
        <v>La Naranja Geriatrica</v>
      </c>
      <c r="D43" s="4" t="str">
        <f t="shared" si="1"/>
        <v>Farola FC</v>
      </c>
      <c r="E43" t="str">
        <f t="shared" si="9"/>
        <v>Martes 05 de Septiembre</v>
      </c>
      <c r="F43" s="1">
        <f t="shared" si="8"/>
        <v>0.86805555555555547</v>
      </c>
      <c r="I43">
        <v>4</v>
      </c>
      <c r="J43">
        <v>17</v>
      </c>
      <c r="K43" s="4" t="str">
        <f t="shared" si="3"/>
        <v>Los Suplentes</v>
      </c>
      <c r="L43">
        <v>2</v>
      </c>
    </row>
    <row r="44" spans="1:12" x14ac:dyDescent="0.25">
      <c r="A44">
        <v>6</v>
      </c>
      <c r="B44">
        <v>11</v>
      </c>
      <c r="C44" s="4" t="str">
        <f t="shared" si="0"/>
        <v>Carlinga</v>
      </c>
      <c r="D44" s="4" t="str">
        <f t="shared" si="1"/>
        <v>Sala Azul Remix</v>
      </c>
      <c r="E44" t="str">
        <f t="shared" si="9"/>
        <v>Martes 05 de Septiembre</v>
      </c>
      <c r="F44" s="1">
        <f t="shared" si="8"/>
        <v>0.90277777777777779</v>
      </c>
      <c r="I44">
        <v>1</v>
      </c>
      <c r="J44">
        <v>17</v>
      </c>
      <c r="K44" s="4" t="str">
        <f t="shared" si="3"/>
        <v>La Naranja Geriatrica</v>
      </c>
      <c r="L44">
        <v>3</v>
      </c>
    </row>
    <row r="45" spans="1:12" x14ac:dyDescent="0.25">
      <c r="A45">
        <v>5</v>
      </c>
      <c r="B45">
        <v>10</v>
      </c>
      <c r="C45" s="4" t="str">
        <f t="shared" si="0"/>
        <v>Pablo &amp; Los Sextos</v>
      </c>
      <c r="D45" s="4" t="str">
        <f t="shared" si="1"/>
        <v>La Scaloneta</v>
      </c>
      <c r="E45" t="str">
        <f t="shared" si="9"/>
        <v>Jueves 07 de Septiembre</v>
      </c>
      <c r="F45" s="1">
        <f t="shared" si="8"/>
        <v>0.83333333333333337</v>
      </c>
      <c r="I45">
        <v>9</v>
      </c>
      <c r="J45">
        <v>18</v>
      </c>
      <c r="K45" s="4" t="str">
        <f t="shared" si="3"/>
        <v>Whiscola F.C.C.</v>
      </c>
      <c r="L45">
        <v>1</v>
      </c>
    </row>
    <row r="46" spans="1:12" x14ac:dyDescent="0.25">
      <c r="A46">
        <v>7</v>
      </c>
      <c r="B46">
        <v>9</v>
      </c>
      <c r="C46" s="4" t="str">
        <f t="shared" si="0"/>
        <v>Rejunte FC</v>
      </c>
      <c r="D46" s="4" t="str">
        <f t="shared" si="1"/>
        <v>Whiscola F.C.C.</v>
      </c>
      <c r="E46" t="str">
        <f t="shared" si="9"/>
        <v>Jueves 07 de Septiembre</v>
      </c>
      <c r="F46" s="1">
        <f t="shared" si="8"/>
        <v>0.86805555555555547</v>
      </c>
      <c r="I46">
        <v>5</v>
      </c>
      <c r="J46">
        <v>18</v>
      </c>
      <c r="K46" s="4" t="str">
        <f t="shared" si="3"/>
        <v>Pablo &amp; Los Sextos</v>
      </c>
      <c r="L46">
        <v>2</v>
      </c>
    </row>
    <row r="47" spans="1:12" x14ac:dyDescent="0.25">
      <c r="A47">
        <v>7</v>
      </c>
      <c r="B47">
        <v>11</v>
      </c>
      <c r="C47" s="4" t="str">
        <f t="shared" si="0"/>
        <v>Rejunte FC</v>
      </c>
      <c r="D47" s="4" t="str">
        <f t="shared" si="1"/>
        <v>Sala Azul Remix</v>
      </c>
      <c r="E47" t="str">
        <f t="shared" si="9"/>
        <v>Martes 12 de Septiembre</v>
      </c>
      <c r="F47" s="1">
        <f t="shared" si="8"/>
        <v>0.83333333333333337</v>
      </c>
      <c r="I47">
        <v>10</v>
      </c>
      <c r="J47">
        <v>19</v>
      </c>
      <c r="K47" s="4" t="str">
        <f t="shared" si="3"/>
        <v>La Scaloneta</v>
      </c>
      <c r="L47">
        <v>1</v>
      </c>
    </row>
    <row r="48" spans="1:12" x14ac:dyDescent="0.25">
      <c r="A48">
        <v>8</v>
      </c>
      <c r="B48">
        <v>10</v>
      </c>
      <c r="C48" s="4" t="str">
        <f t="shared" si="0"/>
        <v>Los PapiFootball</v>
      </c>
      <c r="D48" s="4" t="str">
        <f t="shared" si="1"/>
        <v>La Scaloneta</v>
      </c>
      <c r="E48" t="str">
        <f t="shared" si="9"/>
        <v>Martes 12 de Septiembre</v>
      </c>
      <c r="F48" s="1">
        <f t="shared" si="8"/>
        <v>0.86805555555555547</v>
      </c>
      <c r="I48">
        <v>7</v>
      </c>
      <c r="J48">
        <v>19</v>
      </c>
      <c r="K48" s="4" t="str">
        <f t="shared" si="3"/>
        <v>Rejunte FC</v>
      </c>
      <c r="L48">
        <v>2</v>
      </c>
    </row>
    <row r="49" spans="1:12" x14ac:dyDescent="0.25">
      <c r="A49">
        <v>5</v>
      </c>
      <c r="B49">
        <v>2</v>
      </c>
      <c r="C49" s="4" t="str">
        <f t="shared" si="0"/>
        <v>Pablo &amp; Los Sextos</v>
      </c>
      <c r="D49" s="4" t="str">
        <f t="shared" si="1"/>
        <v>Farola FC</v>
      </c>
      <c r="E49" t="str">
        <f t="shared" si="9"/>
        <v>Martes 12 de Septiembre</v>
      </c>
      <c r="F49" s="1">
        <f t="shared" si="8"/>
        <v>0.90277777777777779</v>
      </c>
      <c r="I49">
        <v>8</v>
      </c>
      <c r="J49">
        <v>19</v>
      </c>
      <c r="K49" s="4" t="str">
        <f t="shared" si="3"/>
        <v>Los PapiFootball</v>
      </c>
      <c r="L49">
        <v>3</v>
      </c>
    </row>
    <row r="50" spans="1:12" x14ac:dyDescent="0.25">
      <c r="A50">
        <v>4</v>
      </c>
      <c r="B50">
        <v>1</v>
      </c>
      <c r="C50" s="4" t="str">
        <f t="shared" si="0"/>
        <v>Los Suplentes</v>
      </c>
      <c r="D50" s="4" t="str">
        <f t="shared" si="1"/>
        <v>La Naranja Geriatrica</v>
      </c>
      <c r="E50" t="str">
        <f t="shared" si="9"/>
        <v>Jueves 14 de Septiembre</v>
      </c>
      <c r="F50" s="1">
        <f t="shared" si="8"/>
        <v>0.83333333333333337</v>
      </c>
      <c r="I50">
        <v>3</v>
      </c>
      <c r="J50">
        <v>20</v>
      </c>
      <c r="K50" s="4" t="str">
        <f t="shared" si="3"/>
        <v>All Inclusive F.C.</v>
      </c>
      <c r="L50">
        <v>1</v>
      </c>
    </row>
    <row r="51" spans="1:12" x14ac:dyDescent="0.25">
      <c r="A51">
        <v>6</v>
      </c>
      <c r="B51">
        <v>3</v>
      </c>
      <c r="C51" s="4" t="str">
        <f t="shared" si="0"/>
        <v>Carlinga</v>
      </c>
      <c r="D51" s="4" t="str">
        <f t="shared" si="1"/>
        <v>All Inclusive F.C.</v>
      </c>
      <c r="E51" t="str">
        <f t="shared" si="9"/>
        <v>Jueves 14 de Septiembre</v>
      </c>
      <c r="F51" s="1">
        <f t="shared" si="8"/>
        <v>0.86805555555555547</v>
      </c>
      <c r="I51">
        <v>4</v>
      </c>
      <c r="J51">
        <v>20</v>
      </c>
      <c r="K51" s="4" t="str">
        <f t="shared" si="3"/>
        <v>Los Suplentes</v>
      </c>
      <c r="L51">
        <v>2</v>
      </c>
    </row>
    <row r="52" spans="1:12" x14ac:dyDescent="0.25">
      <c r="A52">
        <v>6</v>
      </c>
      <c r="B52">
        <v>1</v>
      </c>
      <c r="C52" s="4" t="str">
        <f t="shared" si="0"/>
        <v>Carlinga</v>
      </c>
      <c r="D52" s="4" t="str">
        <f t="shared" si="1"/>
        <v>La Naranja Geriatrica</v>
      </c>
      <c r="E52" t="str">
        <f t="shared" si="9"/>
        <v>Martes 19 de Septiembre</v>
      </c>
      <c r="F52" s="1">
        <f t="shared" si="8"/>
        <v>0.83333333333333337</v>
      </c>
      <c r="I52">
        <v>4</v>
      </c>
      <c r="J52">
        <v>21</v>
      </c>
      <c r="K52" s="4" t="str">
        <f t="shared" si="3"/>
        <v>Los Suplentes</v>
      </c>
      <c r="L52">
        <v>1</v>
      </c>
    </row>
    <row r="53" spans="1:12" x14ac:dyDescent="0.25">
      <c r="A53">
        <v>5</v>
      </c>
      <c r="B53">
        <v>4</v>
      </c>
      <c r="C53" s="4" t="str">
        <f t="shared" si="0"/>
        <v>Pablo &amp; Los Sextos</v>
      </c>
      <c r="D53" s="4" t="str">
        <f t="shared" si="1"/>
        <v>Los Suplentes</v>
      </c>
      <c r="E53" t="str">
        <f t="shared" si="9"/>
        <v>Martes 19 de Septiembre</v>
      </c>
      <c r="F53" s="1">
        <f t="shared" si="8"/>
        <v>0.86805555555555547</v>
      </c>
      <c r="I53">
        <v>6</v>
      </c>
      <c r="J53">
        <v>21</v>
      </c>
      <c r="K53" s="4" t="str">
        <f t="shared" si="3"/>
        <v>Carlinga</v>
      </c>
      <c r="L53">
        <v>2</v>
      </c>
    </row>
    <row r="54" spans="1:12" x14ac:dyDescent="0.25">
      <c r="A54">
        <v>7</v>
      </c>
      <c r="B54">
        <v>3</v>
      </c>
      <c r="C54" s="4" t="str">
        <f t="shared" si="0"/>
        <v>Rejunte FC</v>
      </c>
      <c r="D54" s="4" t="str">
        <f t="shared" si="1"/>
        <v>All Inclusive F.C.</v>
      </c>
      <c r="E54" t="str">
        <f t="shared" si="9"/>
        <v>Martes 19 de Septiembre</v>
      </c>
      <c r="F54" s="1">
        <f t="shared" si="8"/>
        <v>0.90277777777777779</v>
      </c>
      <c r="I54">
        <v>5</v>
      </c>
      <c r="J54">
        <v>21</v>
      </c>
      <c r="K54" s="4" t="str">
        <f t="shared" si="3"/>
        <v>Pablo &amp; Los Sextos</v>
      </c>
      <c r="L54">
        <v>3</v>
      </c>
    </row>
    <row r="55" spans="1:12" x14ac:dyDescent="0.25">
      <c r="A55">
        <v>8</v>
      </c>
      <c r="B55">
        <v>2</v>
      </c>
      <c r="C55" s="4" t="str">
        <f t="shared" si="0"/>
        <v>Los PapiFootball</v>
      </c>
      <c r="D55" s="4" t="str">
        <f t="shared" si="1"/>
        <v>Farola FC</v>
      </c>
      <c r="E55" t="str">
        <f t="shared" si="9"/>
        <v>Jueves 21 de Septiembre</v>
      </c>
      <c r="F55" s="1">
        <f t="shared" ref="F55:F56" si="10">VLOOKUP(L55,$P$1:$Q$3,2,FALSE)</f>
        <v>0.83333333333333337</v>
      </c>
      <c r="I55">
        <v>11</v>
      </c>
      <c r="J55">
        <v>22</v>
      </c>
      <c r="K55" s="4" t="str">
        <f t="shared" si="3"/>
        <v>Sala Azul Remix</v>
      </c>
      <c r="L55">
        <v>1</v>
      </c>
    </row>
    <row r="56" spans="1:12" x14ac:dyDescent="0.25">
      <c r="A56">
        <v>9</v>
      </c>
      <c r="B56">
        <v>11</v>
      </c>
      <c r="C56" s="4" t="str">
        <f t="shared" si="0"/>
        <v>Whiscola F.C.C.</v>
      </c>
      <c r="D56" s="4" t="str">
        <f t="shared" si="1"/>
        <v>Sala Azul Remix</v>
      </c>
      <c r="E56" t="str">
        <f t="shared" si="9"/>
        <v>Jueves 21 de Septiembre</v>
      </c>
      <c r="F56" s="1">
        <f t="shared" si="10"/>
        <v>0.86805555555555547</v>
      </c>
      <c r="I56">
        <v>8</v>
      </c>
      <c r="J56">
        <v>22</v>
      </c>
      <c r="K56" s="4" t="str">
        <f t="shared" si="3"/>
        <v>Los PapiFootball</v>
      </c>
      <c r="L56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gulad@hotmail.com</dc:creator>
  <cp:lastModifiedBy>gulad@hotmail.com</cp:lastModifiedBy>
  <dcterms:created xsi:type="dcterms:W3CDTF">2023-06-04T02:23:36Z</dcterms:created>
  <dcterms:modified xsi:type="dcterms:W3CDTF">2023-06-20T21:42:21Z</dcterms:modified>
</cp:coreProperties>
</file>